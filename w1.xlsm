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upyter\cbyl\"/>
    </mc:Choice>
  </mc:AlternateContent>
  <bookViews>
    <workbookView xWindow="0" yWindow="0" windowWidth="20385" windowHeight="8505" activeTab="1"/>
  </bookViews>
  <sheets>
    <sheet name="主尺度初" sheetId="4" r:id="rId1"/>
    <sheet name="重力与浮力平衡" sheetId="1" r:id="rId2"/>
    <sheet name="舱容校核" sheetId="3" r:id="rId3"/>
  </sheets>
  <calcPr calcId="162913"/>
</workbook>
</file>

<file path=xl/calcChain.xml><?xml version="1.0" encoding="utf-8"?>
<calcChain xmlns="http://schemas.openxmlformats.org/spreadsheetml/2006/main">
  <c r="B2" i="3" l="1"/>
  <c r="B6" i="1"/>
</calcChain>
</file>

<file path=xl/sharedStrings.xml><?xml version="1.0" encoding="utf-8"?>
<sst xmlns="http://schemas.openxmlformats.org/spreadsheetml/2006/main" count="78" uniqueCount="75">
  <si>
    <t>主尺度</t>
  </si>
  <si>
    <t>重量</t>
  </si>
  <si>
    <t>平方模数法</t>
  </si>
  <si>
    <t>DWT</t>
  </si>
  <si>
    <t>Δ</t>
  </si>
  <si>
    <t>L</t>
  </si>
  <si>
    <t>T</t>
  </si>
  <si>
    <t>海军系数法</t>
  </si>
  <si>
    <t>按主机功率计算</t>
  </si>
  <si>
    <t>B</t>
  </si>
  <si>
    <t>主机功率P</t>
  </si>
  <si>
    <t>Cb</t>
  </si>
  <si>
    <t>载重量</t>
  </si>
  <si>
    <t>载货量</t>
  </si>
  <si>
    <t>满载排水量</t>
  </si>
  <si>
    <t>垂线间长</t>
  </si>
  <si>
    <t>型宽</t>
  </si>
  <si>
    <t>吃水</t>
  </si>
  <si>
    <t>型深</t>
  </si>
  <si>
    <t>方形系数</t>
  </si>
  <si>
    <t>舾装重量</t>
  </si>
  <si>
    <t>机电重量</t>
  </si>
  <si>
    <t>刚料重量</t>
  </si>
  <si>
    <t>海军系数</t>
  </si>
  <si>
    <t>母型船数据</t>
  </si>
  <si>
    <t>母型船换算</t>
  </si>
  <si>
    <t>货舱容积校核</t>
    <phoneticPr fontId="5" type="noConversion"/>
  </si>
  <si>
    <t>设计船数据</t>
    <phoneticPr fontId="5" type="noConversion"/>
  </si>
  <si>
    <t>钢料重量Wh</t>
    <phoneticPr fontId="5" type="noConversion"/>
  </si>
  <si>
    <t>舾装重量Wo</t>
    <phoneticPr fontId="5" type="noConversion"/>
  </si>
  <si>
    <t>机电重量Wm</t>
    <phoneticPr fontId="5" type="noConversion"/>
  </si>
  <si>
    <t>空船重量LW</t>
    <phoneticPr fontId="5" type="noConversion"/>
  </si>
  <si>
    <t>吃水T</t>
    <phoneticPr fontId="5" type="noConversion"/>
  </si>
  <si>
    <t>型宽B</t>
    <phoneticPr fontId="5" type="noConversion"/>
  </si>
  <si>
    <t>方形系数Cb</t>
    <phoneticPr fontId="5" type="noConversion"/>
  </si>
  <si>
    <t>型深D</t>
    <phoneticPr fontId="5" type="noConversion"/>
  </si>
  <si>
    <t>载重量DW</t>
    <phoneticPr fontId="5" type="noConversion"/>
  </si>
  <si>
    <r>
      <rPr>
        <sz val="14"/>
        <color theme="1"/>
        <rFont val="宋体"/>
        <family val="3"/>
        <charset val="134"/>
      </rPr>
      <t>排水量</t>
    </r>
    <r>
      <rPr>
        <sz val="14"/>
        <color theme="1"/>
        <rFont val="Arial"/>
        <family val="2"/>
      </rPr>
      <t>Δ</t>
    </r>
    <phoneticPr fontId="5" type="noConversion"/>
  </si>
  <si>
    <r>
      <t>δ</t>
    </r>
    <r>
      <rPr>
        <sz val="14"/>
        <color theme="1"/>
        <rFont val="宋体"/>
        <family val="3"/>
        <charset val="134"/>
      </rPr>
      <t>DW</t>
    </r>
  </si>
  <si>
    <r>
      <rPr>
        <sz val="14"/>
        <color theme="1"/>
        <rFont val="宋体"/>
        <family val="3"/>
        <charset val="134"/>
      </rPr>
      <t>主机功率（kw）</t>
    </r>
  </si>
  <si>
    <r>
      <t>ᶯ</t>
    </r>
    <r>
      <rPr>
        <vertAlign val="subscript"/>
        <sz val="16"/>
        <color theme="1"/>
        <rFont val="Times New Roman"/>
        <family val="1"/>
      </rPr>
      <t>dw</t>
    </r>
  </si>
  <si>
    <t>船长</t>
    <phoneticPr fontId="5" type="noConversion"/>
  </si>
  <si>
    <t>设计船DW</t>
    <phoneticPr fontId="5" type="noConversion"/>
  </si>
  <si>
    <t>设计船航速</t>
    <phoneticPr fontId="5" type="noConversion"/>
  </si>
  <si>
    <t>服务速度</t>
    <phoneticPr fontId="5" type="noConversion"/>
  </si>
  <si>
    <t>D</t>
    <phoneticPr fontId="5" type="noConversion"/>
  </si>
  <si>
    <t>Lpp</t>
    <phoneticPr fontId="5" type="noConversion"/>
  </si>
  <si>
    <t>P</t>
    <phoneticPr fontId="5" type="noConversion"/>
  </si>
  <si>
    <t>钢料重量Wh</t>
    <phoneticPr fontId="5" type="noConversion"/>
  </si>
  <si>
    <r>
      <rPr>
        <sz val="14"/>
        <rFont val="宋体"/>
        <family val="3"/>
        <charset val="134"/>
      </rPr>
      <t>船长</t>
    </r>
    <r>
      <rPr>
        <sz val="14"/>
        <rFont val="Arial"/>
        <family val="2"/>
      </rPr>
      <t>L</t>
    </r>
    <phoneticPr fontId="5" type="noConversion"/>
  </si>
  <si>
    <r>
      <t>L</t>
    </r>
    <r>
      <rPr>
        <sz val="11"/>
        <rFont val="宋体"/>
        <family val="3"/>
        <charset val="134"/>
        <scheme val="minor"/>
      </rPr>
      <t>pp</t>
    </r>
    <phoneticPr fontId="5" type="noConversion"/>
  </si>
  <si>
    <t>需要改变的主尺度(L,B,D)</t>
    <phoneticPr fontId="5" type="noConversion"/>
  </si>
  <si>
    <t>L</t>
    <phoneticPr fontId="5" type="noConversion"/>
  </si>
  <si>
    <t>kB</t>
    <phoneticPr fontId="5" type="noConversion"/>
  </si>
  <si>
    <t>压载水容积</t>
    <phoneticPr fontId="5" type="noConversion"/>
  </si>
  <si>
    <t>载货量Wc</t>
    <phoneticPr fontId="5" type="noConversion"/>
  </si>
  <si>
    <r>
      <t>积载因数</t>
    </r>
    <r>
      <rPr>
        <sz val="14"/>
        <color theme="1"/>
        <rFont val="等线"/>
        <family val="3"/>
        <charset val="134"/>
      </rPr>
      <t>μ</t>
    </r>
    <r>
      <rPr>
        <vertAlign val="subscript"/>
        <sz val="14"/>
        <color theme="1"/>
        <rFont val="宋体"/>
        <family val="3"/>
        <charset val="134"/>
      </rPr>
      <t>c</t>
    </r>
    <phoneticPr fontId="5" type="noConversion"/>
  </si>
  <si>
    <r>
      <t>容积折扣系数k</t>
    </r>
    <r>
      <rPr>
        <vertAlign val="subscript"/>
        <sz val="14"/>
        <color theme="1"/>
        <rFont val="宋体"/>
        <family val="3"/>
        <charset val="134"/>
        <scheme val="minor"/>
      </rPr>
      <t>c</t>
    </r>
    <phoneticPr fontId="5" type="noConversion"/>
  </si>
  <si>
    <t>货舱所需容积Vc</t>
    <phoneticPr fontId="5" type="noConversion"/>
  </si>
  <si>
    <r>
      <t>新船能提供的容积V</t>
    </r>
    <r>
      <rPr>
        <vertAlign val="subscript"/>
        <sz val="14"/>
        <color theme="1"/>
        <rFont val="宋体"/>
        <family val="3"/>
        <charset val="134"/>
        <scheme val="minor"/>
      </rPr>
      <t>TC</t>
    </r>
    <phoneticPr fontId="5" type="noConversion"/>
  </si>
  <si>
    <t>dVC</t>
    <phoneticPr fontId="5" type="noConversion"/>
  </si>
  <si>
    <t>压载水容积VB</t>
    <phoneticPr fontId="5" type="noConversion"/>
  </si>
  <si>
    <t>机舱容积</t>
    <phoneticPr fontId="5" type="noConversion"/>
  </si>
  <si>
    <t>KM</t>
    <phoneticPr fontId="5" type="noConversion"/>
  </si>
  <si>
    <t>LM</t>
    <phoneticPr fontId="5" type="noConversion"/>
  </si>
  <si>
    <t>hDM</t>
    <phoneticPr fontId="5" type="noConversion"/>
  </si>
  <si>
    <t>机舱容积VM</t>
    <phoneticPr fontId="5" type="noConversion"/>
  </si>
  <si>
    <t>总容积</t>
    <phoneticPr fontId="5" type="noConversion"/>
  </si>
  <si>
    <t>C1</t>
    <phoneticPr fontId="5" type="noConversion"/>
  </si>
  <si>
    <t>SM</t>
    <phoneticPr fontId="5" type="noConversion"/>
  </si>
  <si>
    <t>C</t>
    <phoneticPr fontId="5" type="noConversion"/>
  </si>
  <si>
    <t>新船提供总容积VH</t>
    <phoneticPr fontId="5" type="noConversion"/>
  </si>
  <si>
    <t>dVH</t>
    <phoneticPr fontId="5" type="noConversion"/>
  </si>
  <si>
    <t>百分比</t>
    <phoneticPr fontId="5" type="noConversion"/>
  </si>
  <si>
    <t>VC+VB+VM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</si>
</sst>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20" x14ac:knownFonts="1">
    <font>
      <sz val="11"/>
      <color theme="1"/>
      <name val="宋体"/>
      <charset val="134"/>
      <scheme val="minor"/>
    </font>
    <font>
      <sz val="11"/>
      <color rgb="FFFF0000"/>
      <name val="宋体"/>
      <family val="3"/>
      <charset val="134"/>
      <scheme val="minor"/>
    </font>
    <font>
      <sz val="16"/>
      <color theme="1"/>
      <name val="Times New Roman"/>
      <family val="1"/>
    </font>
    <font>
      <sz val="10.5"/>
      <color theme="1"/>
      <name val="宋体"/>
      <family val="3"/>
      <charset val="134"/>
    </font>
    <font>
      <vertAlign val="subscript"/>
      <sz val="16"/>
      <color theme="1"/>
      <name val="Times New Roman"/>
      <family val="1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</font>
    <font>
      <vertAlign val="subscript"/>
      <sz val="14"/>
      <color theme="1"/>
      <name val="宋体"/>
      <family val="3"/>
      <charset val="134"/>
    </font>
    <font>
      <sz val="14"/>
      <color rgb="FFFF0000"/>
      <name val="宋体"/>
      <family val="3"/>
      <charset val="134"/>
      <scheme val="minor"/>
    </font>
    <font>
      <sz val="14"/>
      <color theme="1"/>
      <name val="Arial"/>
      <family val="2"/>
    </font>
    <font>
      <sz val="14"/>
      <name val="宋体"/>
      <family val="3"/>
      <charset val="134"/>
      <scheme val="minor"/>
    </font>
    <font>
      <sz val="14"/>
      <color theme="1"/>
      <name val="等线"/>
      <family val="3"/>
      <charset val="134"/>
    </font>
    <font>
      <vertAlign val="subscript"/>
      <sz val="14"/>
      <color theme="1"/>
      <name val="宋体"/>
      <family val="3"/>
      <charset val="134"/>
      <scheme val="minor"/>
    </font>
    <font>
      <sz val="14"/>
      <color rgb="FFFF0000"/>
      <name val="Times New Roman"/>
      <family val="1"/>
    </font>
    <font>
      <sz val="14"/>
      <color theme="0"/>
      <name val="宋体"/>
      <family val="3"/>
      <charset val="134"/>
      <scheme val="minor"/>
    </font>
    <font>
      <sz val="14"/>
      <name val="宋体"/>
      <family val="3"/>
      <charset val="134"/>
    </font>
    <font>
      <sz val="14"/>
      <name val="Arial"/>
      <family val="2"/>
    </font>
    <font>
      <sz val="1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 applyBorder="1">
      <alignment vertical="center"/>
    </xf>
    <xf numFmtId="0" fontId="10" fillId="0" borderId="0" xfId="0" applyFont="1">
      <alignment vertical="center"/>
    </xf>
    <xf numFmtId="0" fontId="7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justify" vertical="center"/>
    </xf>
    <xf numFmtId="0" fontId="10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10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12" fillId="2" borderId="0" xfId="0" applyFont="1" applyFill="1" applyAlignment="1">
      <alignment horizontal="center" vertical="center"/>
    </xf>
    <xf numFmtId="176" fontId="10" fillId="0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176" fontId="7" fillId="0" borderId="1" xfId="0" applyNumberFormat="1" applyFont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0" fontId="10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1"/>
  <sheetViews>
    <sheetView workbookViewId="0">
      <selection activeCell="D24" sqref="D24"/>
    </sheetView>
  </sheetViews>
  <sheetFormatPr defaultColWidth="9" defaultRowHeight="13.5" x14ac:dyDescent="0.15"/>
  <cols>
    <col min="1" max="1" width="19.375" bestFit="1" customWidth="1"/>
    <col min="2" max="4" width="12.625"/>
    <col min="5" max="5" width="13.125" customWidth="1"/>
    <col min="6" max="6" width="14" customWidth="1"/>
    <col min="7" max="7" width="14.875" customWidth="1"/>
    <col min="8" max="8" width="12.625"/>
    <col min="9" max="12" width="9.875" customWidth="1"/>
    <col min="13" max="13" width="10.5" customWidth="1"/>
  </cols>
  <sheetData>
    <row r="1" spans="1:10" ht="18.75" x14ac:dyDescent="0.15">
      <c r="A1" s="44" t="s">
        <v>24</v>
      </c>
      <c r="B1" s="44"/>
      <c r="C1" s="7"/>
      <c r="D1" s="45" t="s">
        <v>27</v>
      </c>
      <c r="E1" s="45"/>
      <c r="F1" s="20"/>
      <c r="G1" s="7"/>
      <c r="H1" s="7"/>
      <c r="I1" s="7"/>
      <c r="J1" s="7"/>
    </row>
    <row r="2" spans="1:10" ht="18.75" x14ac:dyDescent="0.15">
      <c r="A2" s="14"/>
      <c r="B2" s="16">
        <v>18500</v>
      </c>
      <c r="C2" s="6"/>
      <c r="D2" s="17" t="s">
        <v>3</v>
      </c>
      <c r="E2" s="16">
        <v>19120</v>
      </c>
      <c r="F2" s="21"/>
      <c r="G2" s="7"/>
      <c r="H2" s="7"/>
      <c r="I2" s="7"/>
      <c r="J2" s="7"/>
    </row>
    <row r="3" spans="1:10" ht="23.25" x14ac:dyDescent="0.15">
      <c r="A3" s="14" t="s">
        <v>12</v>
      </c>
      <c r="B3" s="16">
        <v>18833</v>
      </c>
      <c r="C3" s="6"/>
      <c r="D3" s="2" t="s">
        <v>40</v>
      </c>
      <c r="E3" s="31">
        <v>0.78942315861934165</v>
      </c>
      <c r="F3" s="22"/>
      <c r="G3" s="10"/>
      <c r="H3" s="7"/>
      <c r="I3" s="7"/>
      <c r="J3" s="7"/>
    </row>
    <row r="4" spans="1:10" ht="18.75" x14ac:dyDescent="0.15">
      <c r="A4" s="14" t="s">
        <v>13</v>
      </c>
      <c r="B4" s="16">
        <v>18184</v>
      </c>
      <c r="C4" s="6"/>
      <c r="D4" s="9" t="s">
        <v>4</v>
      </c>
      <c r="E4" s="8">
        <v>24220.216738307809</v>
      </c>
      <c r="F4" s="22"/>
      <c r="H4" s="7"/>
      <c r="I4" s="7"/>
      <c r="J4" s="7"/>
    </row>
    <row r="5" spans="1:10" ht="20.25" customHeight="1" x14ac:dyDescent="0.15">
      <c r="A5" s="14" t="s">
        <v>14</v>
      </c>
      <c r="B5" s="16">
        <v>23433</v>
      </c>
      <c r="C5" s="6"/>
      <c r="D5" s="15"/>
      <c r="E5" s="13"/>
      <c r="F5" s="11"/>
      <c r="G5" s="10"/>
      <c r="H5" s="7"/>
      <c r="I5" s="7"/>
      <c r="J5" s="7"/>
    </row>
    <row r="6" spans="1:10" ht="20.25" customHeight="1" x14ac:dyDescent="0.15">
      <c r="A6" s="14" t="s">
        <v>41</v>
      </c>
      <c r="B6" s="16">
        <v>154.80000000000001</v>
      </c>
      <c r="C6" s="6"/>
      <c r="D6" s="15"/>
      <c r="E6" s="13"/>
      <c r="F6" s="11"/>
      <c r="G6" s="10"/>
      <c r="H6" s="7"/>
      <c r="I6" s="7"/>
      <c r="J6" s="7"/>
    </row>
    <row r="7" spans="1:10" ht="15" customHeight="1" x14ac:dyDescent="0.15">
      <c r="A7" s="14" t="s">
        <v>15</v>
      </c>
      <c r="B7" s="16">
        <v>146</v>
      </c>
      <c r="C7" s="6"/>
      <c r="D7" s="17" t="s">
        <v>0</v>
      </c>
      <c r="E7" s="17" t="s">
        <v>25</v>
      </c>
      <c r="F7" s="10"/>
      <c r="G7" s="10"/>
      <c r="H7" s="10"/>
      <c r="I7" s="7"/>
      <c r="J7" s="7"/>
    </row>
    <row r="8" spans="1:10" ht="18.75" x14ac:dyDescent="0.15">
      <c r="A8" s="14" t="s">
        <v>16</v>
      </c>
      <c r="B8" s="16">
        <v>21.6</v>
      </c>
      <c r="C8" s="6"/>
      <c r="D8" s="17" t="s">
        <v>5</v>
      </c>
      <c r="E8" s="8">
        <v>156.51441196853969</v>
      </c>
      <c r="F8" s="10"/>
      <c r="G8" s="10"/>
      <c r="H8" s="19"/>
      <c r="I8" s="7"/>
      <c r="J8" s="7"/>
    </row>
    <row r="9" spans="1:10" ht="18.75" x14ac:dyDescent="0.15">
      <c r="A9" s="14" t="s">
        <v>17</v>
      </c>
      <c r="B9" s="16">
        <v>8.8000000000000007</v>
      </c>
      <c r="C9" s="6"/>
      <c r="D9" s="17" t="s">
        <v>46</v>
      </c>
      <c r="E9" s="8">
        <v>147.61695185663302</v>
      </c>
      <c r="F9" s="10"/>
      <c r="G9" s="10"/>
      <c r="H9" s="19"/>
      <c r="I9" s="7"/>
      <c r="J9" s="7"/>
    </row>
    <row r="10" spans="1:10" ht="18.75" x14ac:dyDescent="0.15">
      <c r="A10" s="14" t="s">
        <v>18</v>
      </c>
      <c r="B10" s="16">
        <v>12.2</v>
      </c>
      <c r="C10" s="6"/>
      <c r="D10" s="17" t="s">
        <v>6</v>
      </c>
      <c r="E10" s="8">
        <v>8.8974601119066481</v>
      </c>
      <c r="F10" s="10"/>
      <c r="G10" s="10"/>
      <c r="H10" s="19"/>
      <c r="I10" s="5"/>
      <c r="J10" s="5"/>
    </row>
    <row r="11" spans="1:10" ht="18.75" x14ac:dyDescent="0.15">
      <c r="A11" s="14" t="s">
        <v>19</v>
      </c>
      <c r="B11" s="16">
        <v>0.82199999999999995</v>
      </c>
      <c r="C11" s="6"/>
      <c r="D11" s="17" t="s">
        <v>9</v>
      </c>
      <c r="E11" s="8">
        <v>21.839220274679956</v>
      </c>
      <c r="F11" s="10"/>
      <c r="G11" s="10"/>
      <c r="H11" s="19"/>
      <c r="I11" s="7"/>
      <c r="J11" s="7"/>
    </row>
    <row r="12" spans="1:10" ht="18.75" x14ac:dyDescent="0.15">
      <c r="A12" s="14" t="s">
        <v>20</v>
      </c>
      <c r="B12" s="16">
        <v>581.27930000000003</v>
      </c>
      <c r="C12" s="6"/>
      <c r="D12" s="17" t="s">
        <v>11</v>
      </c>
      <c r="E12" s="8">
        <v>0.83727599916462248</v>
      </c>
      <c r="F12" s="13"/>
      <c r="G12" s="13"/>
      <c r="H12" s="11"/>
      <c r="I12" s="7"/>
      <c r="J12" s="7"/>
    </row>
    <row r="13" spans="1:10" ht="18.75" x14ac:dyDescent="0.15">
      <c r="A13" s="14" t="s">
        <v>21</v>
      </c>
      <c r="B13" s="16">
        <v>382.21510000000001</v>
      </c>
      <c r="C13" s="6"/>
      <c r="D13" s="17" t="s">
        <v>45</v>
      </c>
      <c r="E13" s="8">
        <v>12.23722177705878</v>
      </c>
      <c r="F13" s="10"/>
      <c r="G13" s="10"/>
      <c r="H13" s="7"/>
      <c r="I13" s="7"/>
      <c r="J13" s="7"/>
    </row>
    <row r="14" spans="1:10" ht="18.75" x14ac:dyDescent="0.15">
      <c r="A14" s="14" t="s">
        <v>22</v>
      </c>
      <c r="B14" s="16">
        <v>3636.5059999999999</v>
      </c>
      <c r="C14" s="6"/>
      <c r="D14" s="17" t="s">
        <v>47</v>
      </c>
      <c r="E14" s="8">
        <v>3177.7830675389559</v>
      </c>
      <c r="F14" s="10"/>
      <c r="G14" s="19"/>
      <c r="H14" s="7"/>
      <c r="I14" s="7"/>
      <c r="J14" s="7"/>
    </row>
    <row r="15" spans="1:10" ht="18.75" x14ac:dyDescent="0.15">
      <c r="A15" s="14" t="s">
        <v>23</v>
      </c>
      <c r="B15" s="16">
        <v>350.62200000000001</v>
      </c>
      <c r="C15" s="6"/>
      <c r="F15" s="7"/>
      <c r="G15" s="7"/>
      <c r="H15" s="7"/>
      <c r="I15" s="7"/>
      <c r="J15" s="7"/>
    </row>
    <row r="16" spans="1:10" ht="18.75" x14ac:dyDescent="0.15">
      <c r="A16" s="14" t="s">
        <v>39</v>
      </c>
      <c r="B16" s="16">
        <v>3552</v>
      </c>
      <c r="C16" s="6"/>
      <c r="D16" s="7"/>
      <c r="E16" s="7"/>
      <c r="H16" s="7"/>
      <c r="I16" s="7"/>
      <c r="J16" s="7"/>
    </row>
    <row r="17" spans="1:4" ht="18.75" x14ac:dyDescent="0.15">
      <c r="A17" s="14" t="s">
        <v>44</v>
      </c>
      <c r="B17" s="16">
        <v>11.5</v>
      </c>
      <c r="C17" s="6"/>
    </row>
    <row r="18" spans="1:4" ht="18.75" x14ac:dyDescent="0.15">
      <c r="A18" s="18"/>
      <c r="C18" s="6"/>
    </row>
    <row r="19" spans="1:4" ht="18.75" x14ac:dyDescent="0.15">
      <c r="C19" s="6"/>
    </row>
    <row r="20" spans="1:4" ht="18.75" x14ac:dyDescent="0.15">
      <c r="C20" s="6"/>
    </row>
    <row r="21" spans="1:4" ht="18.75" x14ac:dyDescent="0.15">
      <c r="A21" s="14" t="s">
        <v>42</v>
      </c>
      <c r="B21" s="16">
        <v>19120</v>
      </c>
      <c r="C21" s="6"/>
    </row>
    <row r="22" spans="1:4" ht="18.75" x14ac:dyDescent="0.15">
      <c r="A22" s="14" t="s">
        <v>43</v>
      </c>
      <c r="B22" s="16">
        <v>11</v>
      </c>
    </row>
    <row r="30" spans="1:4" x14ac:dyDescent="0.15">
      <c r="B30" s="3"/>
    </row>
    <row r="31" spans="1:4" x14ac:dyDescent="0.15">
      <c r="C31" s="3"/>
      <c r="D31" s="3"/>
    </row>
  </sheetData>
  <mergeCells count="2">
    <mergeCell ref="A1:B1"/>
    <mergeCell ref="D1:E1"/>
  </mergeCells>
  <phoneticPr fontId="5" type="noConversion"/>
  <pageMargins left="0.75" right="0.75" top="1" bottom="1" header="0.51180555555555596" footer="0.51180555555555596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tabSelected="1" topLeftCell="A2" workbookViewId="0">
      <selection activeCell="A35" sqref="A35"/>
    </sheetView>
  </sheetViews>
  <sheetFormatPr defaultColWidth="9" defaultRowHeight="13.5" x14ac:dyDescent="0.15"/>
  <cols>
    <col min="1" max="1" width="31.625" bestFit="1" customWidth="1"/>
    <col min="2" max="2" width="13.25" bestFit="1" customWidth="1"/>
    <col min="3" max="3" width="14.25" bestFit="1" customWidth="1"/>
    <col min="4" max="4" width="16.125" customWidth="1"/>
    <col min="5" max="7" width="12.75" bestFit="1" customWidth="1"/>
    <col min="8" max="11" width="14.25" bestFit="1" customWidth="1"/>
    <col min="12" max="12" width="11.875" bestFit="1" customWidth="1"/>
    <col min="13" max="13" width="14" bestFit="1" customWidth="1"/>
    <col min="14" max="14" width="13.25" bestFit="1" customWidth="1"/>
    <col min="15" max="15" width="10.5" bestFit="1" customWidth="1"/>
  </cols>
  <sheetData>
    <row r="1" spans="1:15" ht="22.5" customHeight="1" x14ac:dyDescent="0.15">
      <c r="A1" s="17" t="s">
        <v>1</v>
      </c>
      <c r="B1" s="29" t="s">
        <v>2</v>
      </c>
      <c r="C1" s="30"/>
      <c r="D1" s="30"/>
      <c r="E1" s="46"/>
      <c r="F1" s="46"/>
      <c r="G1" s="46"/>
      <c r="H1" s="10"/>
    </row>
    <row r="2" spans="1:15" ht="18.75" x14ac:dyDescent="0.15">
      <c r="A2" s="17" t="s">
        <v>28</v>
      </c>
      <c r="B2" s="8">
        <v>3706.8518503066643</v>
      </c>
      <c r="C2" s="10"/>
      <c r="D2" s="21"/>
      <c r="E2" s="10"/>
      <c r="F2" s="10"/>
      <c r="G2" s="21"/>
      <c r="H2" s="19"/>
    </row>
    <row r="3" spans="1:15" ht="18.75" x14ac:dyDescent="0.15">
      <c r="A3" s="17" t="s">
        <v>29</v>
      </c>
      <c r="B3" s="8">
        <v>594.22594861844027</v>
      </c>
      <c r="C3" s="10"/>
      <c r="D3" s="21"/>
      <c r="E3" s="10"/>
      <c r="F3" s="10"/>
      <c r="G3" s="21"/>
      <c r="H3" s="19"/>
    </row>
    <row r="4" spans="1:15" ht="18.75" x14ac:dyDescent="0.15">
      <c r="A4" s="21"/>
      <c r="B4" s="21"/>
      <c r="C4" s="21"/>
      <c r="D4" s="21"/>
      <c r="E4" s="21"/>
      <c r="F4" s="21"/>
      <c r="G4" s="23"/>
      <c r="H4" s="24"/>
      <c r="I4" s="25"/>
      <c r="J4" s="25"/>
    </row>
    <row r="5" spans="1:15" ht="18.75" x14ac:dyDescent="0.15">
      <c r="A5" s="47" t="s">
        <v>7</v>
      </c>
      <c r="B5" s="47"/>
      <c r="C5" s="47" t="s">
        <v>8</v>
      </c>
      <c r="D5" s="47"/>
      <c r="E5" s="20"/>
      <c r="G5" s="24"/>
      <c r="H5" s="23"/>
      <c r="I5" s="25"/>
      <c r="J5" s="25"/>
    </row>
    <row r="6" spans="1:15" ht="18.75" x14ac:dyDescent="0.15">
      <c r="A6" s="12" t="s">
        <v>10</v>
      </c>
      <c r="B6" s="26">
        <f>主尺度初!E14</f>
        <v>3177.7830675389559</v>
      </c>
      <c r="C6" s="12" t="s">
        <v>30</v>
      </c>
      <c r="D6" s="26">
        <v>361.52096309702682</v>
      </c>
      <c r="G6" s="21"/>
      <c r="H6" s="23"/>
      <c r="I6" s="25"/>
      <c r="J6" s="25"/>
    </row>
    <row r="7" spans="1:15" ht="18.75" x14ac:dyDescent="0.15">
      <c r="A7" s="21"/>
      <c r="B7" s="21"/>
      <c r="C7" s="21"/>
      <c r="D7" s="22"/>
      <c r="G7" s="21"/>
      <c r="H7" s="23"/>
      <c r="I7" s="25"/>
      <c r="J7" s="25"/>
    </row>
    <row r="8" spans="1:15" ht="18.75" x14ac:dyDescent="0.15">
      <c r="A8" s="23" t="s">
        <v>51</v>
      </c>
      <c r="B8" s="35" t="s">
        <v>52</v>
      </c>
      <c r="C8" s="23"/>
      <c r="D8" s="23"/>
      <c r="E8" s="23"/>
      <c r="F8" s="23"/>
      <c r="G8" s="23"/>
      <c r="H8" s="23"/>
      <c r="I8" s="25"/>
      <c r="J8" s="25"/>
    </row>
    <row r="9" spans="1:15" ht="18.75" x14ac:dyDescent="0.15">
      <c r="A9" s="12" t="s">
        <v>0</v>
      </c>
      <c r="B9" s="27" t="s">
        <v>37</v>
      </c>
      <c r="C9" s="28" t="s">
        <v>49</v>
      </c>
      <c r="D9" s="28" t="s">
        <v>50</v>
      </c>
      <c r="E9" s="12" t="s">
        <v>32</v>
      </c>
      <c r="F9" s="12" t="s">
        <v>33</v>
      </c>
      <c r="G9" s="12" t="s">
        <v>34</v>
      </c>
      <c r="H9" s="12" t="s">
        <v>35</v>
      </c>
      <c r="I9" s="12" t="s">
        <v>48</v>
      </c>
      <c r="J9" s="12" t="s">
        <v>29</v>
      </c>
      <c r="K9" s="12" t="s">
        <v>30</v>
      </c>
      <c r="L9" s="12" t="s">
        <v>31</v>
      </c>
      <c r="M9" s="12" t="s">
        <v>36</v>
      </c>
      <c r="N9" s="27" t="s">
        <v>38</v>
      </c>
      <c r="O9" s="33"/>
    </row>
    <row r="10" spans="1:15" ht="18.75" x14ac:dyDescent="0.15">
      <c r="A10" s="28">
        <v>1</v>
      </c>
      <c r="B10" s="36">
        <v>26257.175114826452</v>
      </c>
      <c r="C10" s="36">
        <v>156.51441196853969</v>
      </c>
      <c r="D10" s="36">
        <v>147.61695185663302</v>
      </c>
      <c r="E10" s="36">
        <v>8.8974601119066481</v>
      </c>
      <c r="F10" s="36">
        <v>21.839220274679956</v>
      </c>
      <c r="G10" s="36">
        <v>0.83727599916462248</v>
      </c>
      <c r="H10" s="36">
        <v>12.23722177705878</v>
      </c>
      <c r="I10" s="36">
        <v>3706.8518503066643</v>
      </c>
      <c r="J10" s="36">
        <v>594.22594861844027</v>
      </c>
      <c r="K10" s="36">
        <v>361.52096309702682</v>
      </c>
      <c r="L10" s="36">
        <v>4662.5987620221313</v>
      </c>
      <c r="M10" s="36">
        <v>21594.576352804321</v>
      </c>
      <c r="N10" s="36">
        <v>-2474.5763528043208</v>
      </c>
      <c r="O10" s="34"/>
    </row>
    <row r="11" spans="1:15" ht="18.75" x14ac:dyDescent="0.15">
      <c r="A11" s="28">
        <v>2</v>
      </c>
      <c r="B11" s="36">
        <v>23782.598762022131</v>
      </c>
      <c r="C11" s="36">
        <v>155.56602750240407</v>
      </c>
      <c r="D11" s="36">
        <v>146.72248071932165</v>
      </c>
      <c r="E11" s="36">
        <v>8.8974601119066481</v>
      </c>
      <c r="F11" s="36">
        <v>21.839220274679956</v>
      </c>
      <c r="G11" s="36">
        <v>0.83727599916462248</v>
      </c>
      <c r="H11" s="36">
        <v>12.23722177705878</v>
      </c>
      <c r="I11" s="36">
        <v>3684.3905276151568</v>
      </c>
      <c r="J11" s="36">
        <v>590.62529196352659</v>
      </c>
      <c r="K11" s="36">
        <v>361.52096309702682</v>
      </c>
      <c r="L11" s="36">
        <v>4636.5367826757101</v>
      </c>
      <c r="M11" s="36">
        <v>19146.061979346421</v>
      </c>
      <c r="N11" s="36">
        <v>-26.06197934642114</v>
      </c>
      <c r="O11" s="34"/>
    </row>
    <row r="12" spans="1:15" ht="18.75" x14ac:dyDescent="0.15">
      <c r="A12" s="28">
        <v>3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34"/>
    </row>
    <row r="13" spans="1:15" ht="18.75" x14ac:dyDescent="0.15">
      <c r="A13" s="28">
        <v>4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34"/>
    </row>
    <row r="14" spans="1:15" ht="18.75" x14ac:dyDescent="0.15">
      <c r="B14" s="32"/>
      <c r="C14" s="22"/>
      <c r="D14" s="23"/>
      <c r="E14" s="23"/>
      <c r="F14" s="21"/>
      <c r="G14" s="23"/>
      <c r="H14" s="23"/>
      <c r="I14" s="25"/>
      <c r="J14" s="25"/>
    </row>
    <row r="15" spans="1:15" ht="18.75" x14ac:dyDescent="0.15">
      <c r="B15" s="32"/>
      <c r="C15" s="22"/>
      <c r="D15" s="23"/>
      <c r="E15" s="23"/>
      <c r="F15" s="21"/>
      <c r="G15" s="23"/>
      <c r="H15" s="23"/>
      <c r="I15" s="25"/>
      <c r="J15" s="25"/>
    </row>
    <row r="16" spans="1:15" ht="18.75" x14ac:dyDescent="0.15">
      <c r="B16" s="32"/>
      <c r="C16" s="22"/>
      <c r="D16" s="23"/>
      <c r="E16" s="23"/>
      <c r="F16" s="21"/>
      <c r="G16" s="23"/>
      <c r="H16" s="23"/>
      <c r="I16" s="25"/>
      <c r="J16" s="25"/>
    </row>
    <row r="17" spans="1:10" ht="18.75" x14ac:dyDescent="0.15">
      <c r="B17" s="32"/>
      <c r="C17" s="22"/>
      <c r="D17" s="23"/>
      <c r="E17" s="23"/>
      <c r="F17" s="21"/>
      <c r="G17" s="23"/>
      <c r="H17" s="23"/>
      <c r="I17" s="25"/>
      <c r="J17" s="25"/>
    </row>
    <row r="18" spans="1:10" ht="18.75" x14ac:dyDescent="0.15">
      <c r="B18" s="32"/>
      <c r="C18" s="22"/>
      <c r="D18" s="23"/>
      <c r="E18" s="23"/>
      <c r="F18" s="23"/>
      <c r="G18" s="23"/>
      <c r="H18" s="23"/>
      <c r="I18" s="25"/>
      <c r="J18" s="25"/>
    </row>
    <row r="19" spans="1:10" ht="18.75" x14ac:dyDescent="0.15">
      <c r="B19" s="32"/>
      <c r="C19" s="22"/>
      <c r="D19" s="23"/>
      <c r="E19" s="23"/>
      <c r="F19" s="23"/>
      <c r="G19" s="23"/>
      <c r="H19" s="23"/>
      <c r="I19" s="25"/>
      <c r="J19" s="25"/>
    </row>
    <row r="20" spans="1:10" ht="18.75" x14ac:dyDescent="0.15">
      <c r="B20" s="32"/>
      <c r="C20" s="22"/>
      <c r="D20" s="23"/>
      <c r="E20" s="23"/>
      <c r="F20" s="23"/>
      <c r="G20" s="23"/>
      <c r="H20" s="23"/>
      <c r="I20" s="25"/>
      <c r="J20" s="25"/>
    </row>
    <row r="21" spans="1:10" ht="18.75" x14ac:dyDescent="0.15">
      <c r="B21" s="21"/>
      <c r="C21" s="22"/>
      <c r="D21" s="23"/>
      <c r="E21" s="23"/>
      <c r="F21" s="23"/>
      <c r="G21" s="23"/>
      <c r="H21" s="23"/>
      <c r="I21" s="25"/>
      <c r="J21" s="25"/>
    </row>
    <row r="22" spans="1:10" x14ac:dyDescent="0.15">
      <c r="A22" s="25"/>
      <c r="B22" s="25"/>
      <c r="C22" s="25"/>
      <c r="D22" s="25"/>
      <c r="E22" s="25"/>
      <c r="F22" s="25"/>
      <c r="G22" s="25"/>
      <c r="H22" s="25"/>
      <c r="I22" s="25"/>
      <c r="J22" s="25"/>
    </row>
    <row r="23" spans="1:10" x14ac:dyDescent="0.15">
      <c r="A23" s="25"/>
      <c r="B23" s="25"/>
      <c r="C23" s="25"/>
      <c r="D23" s="25"/>
      <c r="E23" s="25"/>
      <c r="F23" s="25"/>
      <c r="G23" s="25"/>
      <c r="H23" s="25"/>
      <c r="I23" s="25"/>
      <c r="J23" s="25"/>
    </row>
    <row r="24" spans="1:10" x14ac:dyDescent="0.15">
      <c r="A24" s="25"/>
      <c r="B24" s="25"/>
      <c r="C24" s="25"/>
      <c r="D24" s="25"/>
      <c r="E24" s="25"/>
      <c r="F24" s="25"/>
      <c r="G24" s="25"/>
      <c r="H24" s="25"/>
      <c r="I24" s="25"/>
      <c r="J24" s="25"/>
    </row>
    <row r="25" spans="1:10" x14ac:dyDescent="0.15">
      <c r="A25" s="25"/>
      <c r="B25" s="25"/>
      <c r="C25" s="25"/>
      <c r="D25" s="25"/>
      <c r="E25" s="25"/>
      <c r="F25" s="25"/>
      <c r="G25" s="25"/>
      <c r="H25" s="25"/>
      <c r="I25" s="25"/>
      <c r="J25" s="25"/>
    </row>
    <row r="26" spans="1:10" x14ac:dyDescent="0.15">
      <c r="A26" s="25"/>
      <c r="B26" s="25"/>
      <c r="C26" s="25"/>
      <c r="D26" s="25"/>
      <c r="E26" s="25"/>
      <c r="F26" s="25"/>
      <c r="G26" s="25"/>
      <c r="H26" s="25"/>
      <c r="I26" s="25"/>
      <c r="J26" s="25"/>
    </row>
    <row r="27" spans="1:10" x14ac:dyDescent="0.15">
      <c r="A27" s="25"/>
      <c r="B27" s="25"/>
      <c r="C27" s="25"/>
      <c r="D27" s="25"/>
      <c r="E27" s="25"/>
      <c r="F27" s="25"/>
      <c r="G27" s="25"/>
      <c r="H27" s="25"/>
      <c r="I27" s="25"/>
      <c r="J27" s="25"/>
    </row>
    <row r="28" spans="1:10" x14ac:dyDescent="0.15">
      <c r="A28" s="25"/>
      <c r="B28" s="25"/>
      <c r="C28" s="25"/>
      <c r="D28" s="25"/>
      <c r="E28" s="25"/>
      <c r="F28" s="25"/>
      <c r="G28" s="25"/>
      <c r="H28" s="25"/>
      <c r="I28" s="25"/>
      <c r="J28" s="25"/>
    </row>
    <row r="29" spans="1:10" x14ac:dyDescent="0.15">
      <c r="A29" s="25"/>
      <c r="B29" s="25"/>
      <c r="C29" s="25"/>
      <c r="D29" s="25"/>
      <c r="E29" s="25"/>
      <c r="F29" s="25"/>
      <c r="G29" s="25"/>
      <c r="H29" s="25"/>
      <c r="I29" s="25"/>
      <c r="J29" s="25"/>
    </row>
  </sheetData>
  <mergeCells count="3">
    <mergeCell ref="E1:G1"/>
    <mergeCell ref="A5:B5"/>
    <mergeCell ref="C5:D5"/>
  </mergeCells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6"/>
  <sheetViews>
    <sheetView workbookViewId="0">
      <selection activeCell="B31" sqref="B31"/>
    </sheetView>
  </sheetViews>
  <sheetFormatPr defaultColWidth="9" defaultRowHeight="18.75" x14ac:dyDescent="0.15"/>
  <cols>
    <col min="1" max="1" width="25.25" bestFit="1" customWidth="1"/>
    <col min="2" max="2" width="14.5" style="7" bestFit="1" customWidth="1"/>
  </cols>
  <sheetData>
    <row r="1" spans="1:4" x14ac:dyDescent="0.15">
      <c r="A1" s="16" t="s">
        <v>26</v>
      </c>
      <c r="B1" s="38"/>
    </row>
    <row r="2" spans="1:4" x14ac:dyDescent="0.15">
      <c r="A2" s="17" t="s">
        <v>55</v>
      </c>
      <c r="B2" s="41">
        <f>主尺度初!E2*0.96</f>
        <v>18355.2</v>
      </c>
      <c r="D2" s="4"/>
    </row>
    <row r="3" spans="1:4" ht="21.75" x14ac:dyDescent="0.15">
      <c r="A3" s="17" t="s">
        <v>56</v>
      </c>
      <c r="B3" s="39">
        <v>1.2</v>
      </c>
      <c r="D3" s="4"/>
    </row>
    <row r="4" spans="1:4" ht="20.25" customHeight="1" x14ac:dyDescent="0.15">
      <c r="A4" s="17" t="s">
        <v>57</v>
      </c>
      <c r="B4" s="39">
        <v>0.98</v>
      </c>
      <c r="D4" s="4"/>
    </row>
    <row r="5" spans="1:4" x14ac:dyDescent="0.15">
      <c r="A5" s="17" t="s">
        <v>58</v>
      </c>
      <c r="B5" s="41">
        <v>22241.632653061224</v>
      </c>
    </row>
    <row r="6" spans="1:4" ht="21.75" x14ac:dyDescent="0.15">
      <c r="A6" s="37" t="s">
        <v>59</v>
      </c>
      <c r="B6" s="41">
        <v>22350.717868266336</v>
      </c>
    </row>
    <row r="7" spans="1:4" x14ac:dyDescent="0.15">
      <c r="A7" s="37" t="s">
        <v>60</v>
      </c>
      <c r="B7" s="41">
        <v>109.08521520511204</v>
      </c>
    </row>
    <row r="8" spans="1:4" ht="21" customHeight="1" x14ac:dyDescent="0.15">
      <c r="A8" s="3"/>
      <c r="B8" s="40"/>
    </row>
    <row r="9" spans="1:4" x14ac:dyDescent="0.15">
      <c r="A9" s="12" t="s">
        <v>54</v>
      </c>
      <c r="B9" s="41"/>
    </row>
    <row r="10" spans="1:4" x14ac:dyDescent="0.15">
      <c r="A10" s="12" t="s">
        <v>53</v>
      </c>
      <c r="B10" s="39">
        <v>0.4</v>
      </c>
    </row>
    <row r="11" spans="1:4" x14ac:dyDescent="0.15">
      <c r="A11" s="12" t="s">
        <v>61</v>
      </c>
      <c r="B11" s="41">
        <v>7648</v>
      </c>
    </row>
    <row r="12" spans="1:4" x14ac:dyDescent="0.15">
      <c r="A12" s="3"/>
      <c r="B12" s="42"/>
    </row>
    <row r="13" spans="1:4" x14ac:dyDescent="0.15">
      <c r="A13" s="12" t="s">
        <v>62</v>
      </c>
      <c r="B13" s="38"/>
    </row>
    <row r="14" spans="1:4" x14ac:dyDescent="0.15">
      <c r="A14" s="12" t="s">
        <v>63</v>
      </c>
      <c r="B14" s="39">
        <v>1</v>
      </c>
      <c r="C14" s="1"/>
    </row>
    <row r="15" spans="1:4" x14ac:dyDescent="0.15">
      <c r="A15" s="12" t="s">
        <v>64</v>
      </c>
      <c r="B15" s="39">
        <v>12.5</v>
      </c>
    </row>
    <row r="16" spans="1:4" x14ac:dyDescent="0.15">
      <c r="A16" s="12" t="s">
        <v>65</v>
      </c>
      <c r="B16" s="39">
        <v>1.4</v>
      </c>
    </row>
    <row r="17" spans="1:2" x14ac:dyDescent="0.15">
      <c r="A17" s="12" t="s">
        <v>66</v>
      </c>
      <c r="B17" s="41">
        <v>2958.4559194343155</v>
      </c>
    </row>
    <row r="18" spans="1:2" x14ac:dyDescent="0.15">
      <c r="A18" s="3"/>
      <c r="B18" s="42"/>
    </row>
    <row r="19" spans="1:2" x14ac:dyDescent="0.15">
      <c r="A19" s="12" t="s">
        <v>67</v>
      </c>
      <c r="B19" s="38"/>
    </row>
    <row r="20" spans="1:2" x14ac:dyDescent="0.15">
      <c r="A20" s="12" t="s">
        <v>68</v>
      </c>
      <c r="B20" s="39">
        <v>3</v>
      </c>
    </row>
    <row r="21" spans="1:2" x14ac:dyDescent="0.15">
      <c r="A21" s="12" t="s">
        <v>69</v>
      </c>
      <c r="B21" s="39">
        <v>0.1</v>
      </c>
    </row>
    <row r="22" spans="1:2" x14ac:dyDescent="0.15">
      <c r="A22" s="12" t="s">
        <v>70</v>
      </c>
      <c r="B22" s="36">
        <v>0.43678440549359915</v>
      </c>
    </row>
    <row r="23" spans="1:2" x14ac:dyDescent="0.15">
      <c r="A23" s="12" t="s">
        <v>71</v>
      </c>
      <c r="B23" s="26">
        <v>34744.492850839953</v>
      </c>
    </row>
    <row r="24" spans="1:2" x14ac:dyDescent="0.15">
      <c r="A24" s="12" t="s">
        <v>74</v>
      </c>
      <c r="B24" s="26">
        <v>32848.088572495537</v>
      </c>
    </row>
    <row r="25" spans="1:2" x14ac:dyDescent="0.15">
      <c r="A25" s="12" t="s">
        <v>72</v>
      </c>
      <c r="B25" s="26">
        <v>1896.4042783444138</v>
      </c>
    </row>
    <row r="26" spans="1:2" x14ac:dyDescent="0.15">
      <c r="A26" s="12" t="s">
        <v>73</v>
      </c>
      <c r="B26" s="43">
        <v>5.4581435005708098E-2</v>
      </c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主尺度初</vt:lpstr>
      <vt:lpstr>重力与浮力平衡</vt:lpstr>
      <vt:lpstr>舱容校核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陈旭</dc:creator>
  <cp:lastModifiedBy>汪智豪</cp:lastModifiedBy>
  <dcterms:created xsi:type="dcterms:W3CDTF">2017-12-18T13:51:00Z</dcterms:created>
  <dcterms:modified xsi:type="dcterms:W3CDTF">2018-01-05T12:25:41Z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